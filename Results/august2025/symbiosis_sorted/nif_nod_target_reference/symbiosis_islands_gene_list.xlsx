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anfolk/Desktop/intbio/capture_budget/Design_items/"/>
    </mc:Choice>
  </mc:AlternateContent>
  <xr:revisionPtr revIDLastSave="0" documentId="13_ncr:1_{BA35EBFE-66B6-4749-8497-817B58A018A8}" xr6:coauthVersionLast="47" xr6:coauthVersionMax="47" xr10:uidLastSave="{00000000-0000-0000-0000-000000000000}"/>
  <bookViews>
    <workbookView xWindow="1260" yWindow="3600" windowWidth="27640" windowHeight="16800" activeTab="1" xr2:uid="{058169D1-F933-ED46-9453-6F5637810D24}"/>
  </bookViews>
  <sheets>
    <sheet name="genes" sheetId="1" r:id="rId1"/>
    <sheet name="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 a="1"/>
  <c r="H2" i="2" s="1"/>
  <c r="B1" i="2"/>
  <c r="D2" i="2" a="1"/>
  <c r="D2" i="2" s="1"/>
  <c r="F2" i="2" a="1"/>
  <c r="B5" i="2" a="1"/>
  <c r="B5" i="2" s="1"/>
  <c r="B6" i="2" a="1"/>
  <c r="B6" i="2" s="1"/>
  <c r="B2" i="2" a="1"/>
  <c r="B2" i="2" s="1"/>
  <c r="B3" i="2" a="1"/>
  <c r="B3" i="2" s="1"/>
  <c r="F2" i="2" l="1"/>
  <c r="G1" i="2"/>
  <c r="E1" i="2"/>
  <c r="B4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<sst xmlns="http://schemas.openxmlformats.org/spreadsheetml/2006/main" count="626" uniqueCount="225">
  <si>
    <t xml:space="preserve">nifK  </t>
  </si>
  <si>
    <t xml:space="preserve">nifD  </t>
  </si>
  <si>
    <t xml:space="preserve">nifH  </t>
  </si>
  <si>
    <t xml:space="preserve">nifZ  </t>
  </si>
  <si>
    <t xml:space="preserve">nifB  </t>
  </si>
  <si>
    <t xml:space="preserve">nifV  </t>
  </si>
  <si>
    <t xml:space="preserve">nifW  </t>
  </si>
  <si>
    <t xml:space="preserve">nifQ  </t>
  </si>
  <si>
    <t xml:space="preserve">nifX-like  </t>
  </si>
  <si>
    <t xml:space="preserve">nifE  </t>
  </si>
  <si>
    <t xml:space="preserve">nifN  </t>
  </si>
  <si>
    <t xml:space="preserve">nifX  </t>
  </si>
  <si>
    <t xml:space="preserve">NifX-associated nitrogen fixation protein  </t>
  </si>
  <si>
    <t xml:space="preserve">nifA  </t>
  </si>
  <si>
    <t xml:space="preserve">nifS  </t>
  </si>
  <si>
    <t xml:space="preserve">nifT  </t>
  </si>
  <si>
    <t xml:space="preserve">nitrogen fixation protein NifZ  </t>
  </si>
  <si>
    <t xml:space="preserve">nitrogen fixation protein NifQ  </t>
  </si>
  <si>
    <t xml:space="preserve">nitrogenase-stabilizing/protective protein NifW  </t>
  </si>
  <si>
    <t xml:space="preserve">NifU family protein  </t>
  </si>
  <si>
    <t xml:space="preserve">nifJ  </t>
  </si>
  <si>
    <t xml:space="preserve">nodD2  </t>
  </si>
  <si>
    <t xml:space="preserve">nodD1  </t>
  </si>
  <si>
    <t xml:space="preserve">nodQ  </t>
  </si>
  <si>
    <t xml:space="preserve">NodA family N-acyltransferase  </t>
  </si>
  <si>
    <t xml:space="preserve">nodB  </t>
  </si>
  <si>
    <t xml:space="preserve">nodC  </t>
  </si>
  <si>
    <t xml:space="preserve">nodI  </t>
  </si>
  <si>
    <t xml:space="preserve">nodS  </t>
  </si>
  <si>
    <t xml:space="preserve">nodD  </t>
  </si>
  <si>
    <t xml:space="preserve">nodU  </t>
  </si>
  <si>
    <t xml:space="preserve">nodA  </t>
  </si>
  <si>
    <t xml:space="preserve">nodulation protein NodZ  </t>
  </si>
  <si>
    <t xml:space="preserve">nodJ  </t>
  </si>
  <si>
    <t xml:space="preserve">nodH  </t>
  </si>
  <si>
    <t xml:space="preserve">nodL  </t>
  </si>
  <si>
    <t xml:space="preserve">nodulation protein U  </t>
  </si>
  <si>
    <t xml:space="preserve">nodulation S family protein  </t>
  </si>
  <si>
    <t xml:space="preserve">nodulation methyltransferase NodS  </t>
  </si>
  <si>
    <t xml:space="preserve">nodulation protein NolB  </t>
  </si>
  <si>
    <t xml:space="preserve">nodulation protein NfeD  </t>
  </si>
  <si>
    <t xml:space="preserve">nodulation protein NolU  </t>
  </si>
  <si>
    <t xml:space="preserve">nodQ-like  </t>
  </si>
  <si>
    <t xml:space="preserve">nodulation factor fucose acetyltransferase NolL  </t>
  </si>
  <si>
    <t xml:space="preserve">nodulation protein NodU  </t>
  </si>
  <si>
    <t xml:space="preserve">nodX  </t>
  </si>
  <si>
    <t xml:space="preserve">nodD3  </t>
  </si>
  <si>
    <t xml:space="preserve">fixU  </t>
  </si>
  <si>
    <t xml:space="preserve">fixA  </t>
  </si>
  <si>
    <t xml:space="preserve">fixB  </t>
  </si>
  <si>
    <t xml:space="preserve">fixC  </t>
  </si>
  <si>
    <t xml:space="preserve">fixX  </t>
  </si>
  <si>
    <t>fdxN</t>
  </si>
  <si>
    <t>fdxB</t>
  </si>
  <si>
    <t>Rieske 2Fe-2S domain-containing protein</t>
  </si>
  <si>
    <t>(2Fe-2S) ferredoxin domain-containing protein</t>
  </si>
  <si>
    <t>YfhL family 4Fe-4S dicluster ferredoxin</t>
  </si>
  <si>
    <t>4Fe-4S binding protein</t>
  </si>
  <si>
    <t>4Fe-4S dicluster domain-containing protein</t>
  </si>
  <si>
    <t>iron-sulfur cluster assembly accessory protein</t>
  </si>
  <si>
    <t>iron-sulfur cluster biosynthesis family protein</t>
  </si>
  <si>
    <t>Fur family transcriptional regulator Irr</t>
  </si>
  <si>
    <t>rpoN</t>
  </si>
  <si>
    <t>nickel-dependent hydrogenase large subunit</t>
  </si>
  <si>
    <t>host specificity protein</t>
  </si>
  <si>
    <t>noeA</t>
  </si>
  <si>
    <t>noeB</t>
  </si>
  <si>
    <t>NoeE-like protein</t>
  </si>
  <si>
    <t>nolF</t>
  </si>
  <si>
    <t>nolG</t>
  </si>
  <si>
    <t>protein nfe1</t>
  </si>
  <si>
    <t>protein nfe2</t>
  </si>
  <si>
    <t>NfeD family protein</t>
  </si>
  <si>
    <t>nifX</t>
  </si>
  <si>
    <t>nifQ</t>
  </si>
  <si>
    <t>nifZ</t>
  </si>
  <si>
    <t>nifW</t>
  </si>
  <si>
    <t>nodA</t>
  </si>
  <si>
    <t>nodQ</t>
  </si>
  <si>
    <t>nolL</t>
  </si>
  <si>
    <t>nodS</t>
  </si>
  <si>
    <t>nfeD</t>
  </si>
  <si>
    <t>nodU</t>
  </si>
  <si>
    <t>nodZ</t>
  </si>
  <si>
    <t>nolB</t>
  </si>
  <si>
    <t>nolU</t>
  </si>
  <si>
    <t>noeE</t>
  </si>
  <si>
    <t>keep?</t>
  </si>
  <si>
    <t>no</t>
  </si>
  <si>
    <t>note</t>
  </si>
  <si>
    <t>paralog</t>
  </si>
  <si>
    <t>nodE</t>
  </si>
  <si>
    <t>nodF</t>
  </si>
  <si>
    <t>nodP</t>
  </si>
  <si>
    <t>nodT</t>
  </si>
  <si>
    <t>nolX</t>
  </si>
  <si>
    <t>noeI</t>
  </si>
  <si>
    <t>noeJ</t>
  </si>
  <si>
    <t>fixL</t>
  </si>
  <si>
    <t>fixJ</t>
  </si>
  <si>
    <t>fixK</t>
  </si>
  <si>
    <t>nifY</t>
  </si>
  <si>
    <t>nifM</t>
  </si>
  <si>
    <t>nodD4</t>
  </si>
  <si>
    <t>nodD5</t>
  </si>
  <si>
    <t>nodD</t>
  </si>
  <si>
    <t>in kit?</t>
  </si>
  <si>
    <t>description</t>
  </si>
  <si>
    <t>Generic Fe–S redox protein; housekeeping electron transfer</t>
  </si>
  <si>
    <t>Generic Fe–S binding protein; metabolic/redox support</t>
  </si>
  <si>
    <t>Fe–S redox protein; not nodulation-specific</t>
  </si>
  <si>
    <t>Ferredoxin; electron transfer protein</t>
  </si>
  <si>
    <t>Ferredoxin supporting nitrogen fixation redox reactions</t>
  </si>
  <si>
    <t>Electron transfer flavoprotein subunit; supports nitrogen fixation</t>
  </si>
  <si>
    <t>Electron transfer flavoprotein subunit</t>
  </si>
  <si>
    <t>Membrane-associated electron transfer protein</t>
  </si>
  <si>
    <t>Fix-associated electron transfer protein</t>
  </si>
  <si>
    <t>Ferredoxin-like electron carrier</t>
  </si>
  <si>
    <t>Iron-responsive transcriptional regulator controlling symbiosis and nitrogen fixation genes</t>
  </si>
  <si>
    <t>Fe–S cluster biogenesis machinery component</t>
  </si>
  <si>
    <t>Fe–S cluster assembly system protein</t>
  </si>
  <si>
    <t>Nodulation efficiency protein; regulatory/accessory role</t>
  </si>
  <si>
    <t>Energy metabolism enzyme; redox balance, not nodulation</t>
  </si>
  <si>
    <t>Sigma-54-dependent transcriptional activator of nif genes</t>
  </si>
  <si>
    <t>FeMo-cofactor biosynthesis protein</t>
  </si>
  <si>
    <t>Nitrogenase MoFe protein alpha subunit</t>
  </si>
  <si>
    <t>Nitrogenase Fe protein</t>
  </si>
  <si>
    <t>Pyruvate:flavodoxin oxidoreductase; electron donor</t>
  </si>
  <si>
    <t>Nitrogenase MoFe protein beta subunit</t>
  </si>
  <si>
    <t>Molybdenum trafficking protein for nitrogenase</t>
  </si>
  <si>
    <t>Cysteine desulfurase; Fe–S cluster formation</t>
  </si>
  <si>
    <t>Nitrogen fixation accessory protein</t>
  </si>
  <si>
    <t>Fe–S cluster scaffold for nitrogenase maturation</t>
  </si>
  <si>
    <t>Homocitrate synthase; nitrogenase cofactor synthesis</t>
  </si>
  <si>
    <t>Nitrogenase stabilizing/protective protein</t>
  </si>
  <si>
    <t>FeMo-cofactor trafficking protein</t>
  </si>
  <si>
    <t>Cofactor-associated nitrogen fixation accessory protein</t>
  </si>
  <si>
    <t>Nitrogenase maturation protein</t>
  </si>
  <si>
    <t>N-acyltransferase; Nod factor backbone synthesis</t>
  </si>
  <si>
    <t>Chitin deacetylase; Nod factor modification</t>
  </si>
  <si>
    <t>Chitin synthase; Nod factor backbone synthesis</t>
  </si>
  <si>
    <t>LysR-type transcriptional regulator sensing plant flavonoids</t>
  </si>
  <si>
    <t>Sulfotransferase; Nod factor modification</t>
  </si>
  <si>
    <t>ABC transporter component; Nod factor export</t>
  </si>
  <si>
    <t>Acetyltransferase; Nod factor modification</t>
  </si>
  <si>
    <t>Sulfate activation enzyme; Nod factor sulfation</t>
  </si>
  <si>
    <t>NodQ-family sulfate metabolism protein</t>
  </si>
  <si>
    <t>SAM-dependent methyltransferase; Nod factor modification</t>
  </si>
  <si>
    <t>Nod factor modification enzyme</t>
  </si>
  <si>
    <t>Nod factor fucosylation/acetylation</t>
  </si>
  <si>
    <t>Nod factor methylation</t>
  </si>
  <si>
    <t>Nodulation efficiency protein</t>
  </si>
  <si>
    <t>Nod factor modification</t>
  </si>
  <si>
    <t>Fucosyltransferase; Nod factor decoration</t>
  </si>
  <si>
    <t>Auxiliary nodulation protein</t>
  </si>
  <si>
    <t>Nod factor methyltransferase</t>
  </si>
  <si>
    <t>Host-specific Nod factor modification enzyme</t>
  </si>
  <si>
    <t>Nodulation outer protein; host specificity</t>
  </si>
  <si>
    <t>Nodulation outer protein</t>
  </si>
  <si>
    <t>Host-range associated nodulation protein</t>
  </si>
  <si>
    <t>Rieske-type Fe–S redox protein</t>
  </si>
  <si>
    <t>Sigma-54 transcription factor; global regulator of nif/fix/nod genes</t>
  </si>
  <si>
    <t>Conserved Fe–S redox protein; metabolic support</t>
  </si>
  <si>
    <t>nifU</t>
  </si>
  <si>
    <t>Oxygen-sensing histidine kinase; regulates microaerobic nitrogen fixation genes</t>
  </si>
  <si>
    <t>Response regulator of FixLJ two-component system; activates fixK expression</t>
  </si>
  <si>
    <t>Crp/Fnr-family transcriptional regulator; controls microaerobic respiration and nitrogen fixation genes</t>
  </si>
  <si>
    <t>Nitrogenase Fe protein maturation chaperone; required for NifH activity</t>
  </si>
  <si>
    <t>Nitrogenase assembly/stabilization protein; supports FeMo-cofactor incorporation</t>
  </si>
  <si>
    <t>Acyl carrier protein; determines fatty acid composition of Nod factors</t>
  </si>
  <si>
    <t>Acyl carrier protein; partners with NodE in Nod factor synthesis</t>
  </si>
  <si>
    <t>Sulfate adenylyltransferase subunit; provides activated sulfate for Nod factor sulfation</t>
  </si>
  <si>
    <t>Outer membrane efflux protein; Nod factor export (TolC-like)</t>
  </si>
  <si>
    <t>Nodulation outer protein; host-specific nodulation function</t>
  </si>
  <si>
    <t>Nodulation outer protein; host-range associated function</t>
  </si>
  <si>
    <t>Auxiliary nodulation protein; envelope or secretion-associated role in host interaction</t>
  </si>
  <si>
    <t>yes</t>
  </si>
  <si>
    <t>nopP</t>
  </si>
  <si>
    <t>Type III secretion system effector; host-specific symbiosis modulation</t>
  </si>
  <si>
    <t>nopL</t>
  </si>
  <si>
    <t>nopM</t>
  </si>
  <si>
    <t>nopT</t>
  </si>
  <si>
    <t>nopE</t>
  </si>
  <si>
    <t>rhcN / rhcQ / rhcRST</t>
  </si>
  <si>
    <t>fixN</t>
  </si>
  <si>
    <t>fixO</t>
  </si>
  <si>
    <t>fixP</t>
  </si>
  <si>
    <t>fixQ</t>
  </si>
  <si>
    <t>Cytochrome cbb₃-type oxidase subunit I; high-affinity oxygen respiration in nodules</t>
  </si>
  <si>
    <t>Cytochrome cbb₃-type oxidase subunit III; microaerobic respiration component</t>
  </si>
  <si>
    <t>Cytochrome cbb₃-type oxidase subunit II; electron transfer to terminal oxidase</t>
  </si>
  <si>
    <t>Accessory subunit of cytochrome cbb₃ oxidase complex</t>
  </si>
  <si>
    <t>Type III secretion system effector; modulates host signaling during symbiosis</t>
  </si>
  <si>
    <t>Type III secretion system effector; interferes with host defense pathways</t>
  </si>
  <si>
    <t>Type III secretion system effector; host interaction and specificity determinant</t>
  </si>
  <si>
    <t>rhcN</t>
  </si>
  <si>
    <t>ATPase driving protein secretion through the T3SS apparatus</t>
  </si>
  <si>
    <t>rhcQ</t>
  </si>
  <si>
    <t>Structural component of the T3SS basal body</t>
  </si>
  <si>
    <t>rhcR</t>
  </si>
  <si>
    <t>rhcS</t>
  </si>
  <si>
    <t xml:space="preserve"> /  / </t>
  </si>
  <si>
    <t>rhcT</t>
  </si>
  <si>
    <t>Regulatory proteins controlling T3SS expression and effector secretion</t>
  </si>
  <si>
    <t>general function</t>
  </si>
  <si>
    <t>central nodulation gene</t>
  </si>
  <si>
    <t>Synonym reconciled</t>
  </si>
  <si>
    <t>Gene list original</t>
  </si>
  <si>
    <t>central nitrogen fixation gene</t>
  </si>
  <si>
    <t>symbiosis regulatory gene</t>
  </si>
  <si>
    <t>symbiosis physiological support gene (respiration, redox)</t>
  </si>
  <si>
    <t>host specificity gene</t>
  </si>
  <si>
    <t>type III secretion gene (host signalling)</t>
  </si>
  <si>
    <t>exclude</t>
  </si>
  <si>
    <t>fdxN is a dedicated electron donor to nitrogenase</t>
  </si>
  <si>
    <t>Irr</t>
  </si>
  <si>
    <t>Number of unique genes</t>
  </si>
  <si>
    <t>Number of unique central fixation genes</t>
  </si>
  <si>
    <t>Number of unique central nodulation genes</t>
  </si>
  <si>
    <t>Number of unique accessory genes</t>
  </si>
  <si>
    <t>Number of nif genes</t>
  </si>
  <si>
    <t>Number of nod genes</t>
  </si>
  <si>
    <t>nod genes</t>
  </si>
  <si>
    <t>nif genes</t>
  </si>
  <si>
    <t>all genes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</si>
</sst>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A8AE4-673A-6049-A6E1-42B94FEC25D1}">
  <dimension ref="A1:J117"/>
  <sheetViews>
    <sheetView workbookViewId="0">
      <pane ySplit="1" topLeftCell="A18" activePane="bottomLeft" state="frozen"/>
      <selection pane="bottomLeft" activeCell="B35" sqref="B35"/>
    </sheetView>
  </sheetViews>
  <sheetFormatPr baseColWidth="10" defaultRowHeight="16" x14ac:dyDescent="0.2"/>
  <cols>
    <col min="1" max="1" width="15.6640625" customWidth="1"/>
    <col min="2" max="2" width="23.33203125" customWidth="1"/>
    <col min="3" max="3" width="31.33203125" customWidth="1"/>
    <col min="4" max="5" width="21.83203125" customWidth="1"/>
    <col min="6" max="6" width="53.6640625" customWidth="1"/>
  </cols>
  <sheetData>
    <row r="1" spans="1:7" x14ac:dyDescent="0.2">
      <c r="A1" t="s">
        <v>207</v>
      </c>
      <c r="B1" t="s">
        <v>206</v>
      </c>
      <c r="C1" t="s">
        <v>87</v>
      </c>
      <c r="D1" t="s">
        <v>106</v>
      </c>
      <c r="E1" t="s">
        <v>204</v>
      </c>
      <c r="F1" t="s">
        <v>107</v>
      </c>
      <c r="G1" t="s">
        <v>89</v>
      </c>
    </row>
    <row r="2" spans="1:7" x14ac:dyDescent="0.2">
      <c r="A2" t="s">
        <v>53</v>
      </c>
      <c r="B2" t="s">
        <v>53</v>
      </c>
      <c r="C2" t="s">
        <v>176</v>
      </c>
      <c r="D2" t="s">
        <v>176</v>
      </c>
      <c r="E2" t="s">
        <v>210</v>
      </c>
      <c r="F2" t="s">
        <v>111</v>
      </c>
    </row>
    <row r="3" spans="1:7" x14ac:dyDescent="0.2">
      <c r="A3" t="s">
        <v>52</v>
      </c>
      <c r="B3" t="s">
        <v>52</v>
      </c>
      <c r="C3" t="s">
        <v>176</v>
      </c>
      <c r="D3" t="s">
        <v>176</v>
      </c>
      <c r="E3" t="s">
        <v>208</v>
      </c>
      <c r="F3" t="s">
        <v>112</v>
      </c>
      <c r="G3" t="s">
        <v>214</v>
      </c>
    </row>
    <row r="4" spans="1:7" x14ac:dyDescent="0.2">
      <c r="A4" t="s">
        <v>48</v>
      </c>
      <c r="B4" t="s">
        <v>48</v>
      </c>
      <c r="C4" t="s">
        <v>176</v>
      </c>
      <c r="D4" t="s">
        <v>176</v>
      </c>
      <c r="E4" t="s">
        <v>210</v>
      </c>
      <c r="F4" t="s">
        <v>113</v>
      </c>
    </row>
    <row r="5" spans="1:7" x14ac:dyDescent="0.2">
      <c r="A5" t="s">
        <v>49</v>
      </c>
      <c r="B5" t="s">
        <v>49</v>
      </c>
      <c r="C5" t="s">
        <v>176</v>
      </c>
      <c r="D5" t="s">
        <v>176</v>
      </c>
      <c r="E5" t="s">
        <v>210</v>
      </c>
      <c r="F5" t="s">
        <v>114</v>
      </c>
    </row>
    <row r="6" spans="1:7" x14ac:dyDescent="0.2">
      <c r="A6" t="s">
        <v>50</v>
      </c>
      <c r="B6" t="s">
        <v>50</v>
      </c>
      <c r="C6" t="s">
        <v>176</v>
      </c>
      <c r="D6" t="s">
        <v>176</v>
      </c>
      <c r="E6" t="s">
        <v>210</v>
      </c>
      <c r="F6" t="s">
        <v>115</v>
      </c>
    </row>
    <row r="7" spans="1:7" x14ac:dyDescent="0.2">
      <c r="A7" t="s">
        <v>47</v>
      </c>
      <c r="B7" t="s">
        <v>47</v>
      </c>
      <c r="C7" t="s">
        <v>176</v>
      </c>
      <c r="D7" t="s">
        <v>176</v>
      </c>
      <c r="E7" t="s">
        <v>210</v>
      </c>
      <c r="F7" t="s">
        <v>116</v>
      </c>
    </row>
    <row r="8" spans="1:7" x14ac:dyDescent="0.2">
      <c r="A8" t="s">
        <v>51</v>
      </c>
      <c r="B8" t="s">
        <v>51</v>
      </c>
      <c r="C8" t="s">
        <v>176</v>
      </c>
      <c r="D8" t="s">
        <v>176</v>
      </c>
      <c r="E8" t="s">
        <v>210</v>
      </c>
      <c r="F8" t="s">
        <v>117</v>
      </c>
    </row>
    <row r="9" spans="1:7" x14ac:dyDescent="0.2">
      <c r="A9" t="s">
        <v>61</v>
      </c>
      <c r="B9" t="s">
        <v>215</v>
      </c>
      <c r="C9" t="s">
        <v>176</v>
      </c>
      <c r="D9" t="s">
        <v>176</v>
      </c>
      <c r="E9" t="s">
        <v>209</v>
      </c>
      <c r="F9" t="s">
        <v>118</v>
      </c>
    </row>
    <row r="10" spans="1:7" x14ac:dyDescent="0.2">
      <c r="A10" t="s">
        <v>72</v>
      </c>
      <c r="B10" t="s">
        <v>81</v>
      </c>
      <c r="C10" t="s">
        <v>176</v>
      </c>
      <c r="D10" t="s">
        <v>176</v>
      </c>
      <c r="E10" t="s">
        <v>211</v>
      </c>
      <c r="F10" t="s">
        <v>121</v>
      </c>
    </row>
    <row r="11" spans="1:7" x14ac:dyDescent="0.2">
      <c r="A11" t="s">
        <v>40</v>
      </c>
      <c r="B11" t="s">
        <v>81</v>
      </c>
      <c r="C11" t="s">
        <v>176</v>
      </c>
      <c r="D11" t="s">
        <v>176</v>
      </c>
      <c r="E11" t="s">
        <v>211</v>
      </c>
      <c r="F11" t="s">
        <v>151</v>
      </c>
    </row>
    <row r="12" spans="1:7" x14ac:dyDescent="0.2">
      <c r="A12" t="s">
        <v>70</v>
      </c>
      <c r="B12" t="s">
        <v>81</v>
      </c>
      <c r="C12" t="s">
        <v>176</v>
      </c>
      <c r="D12" t="s">
        <v>176</v>
      </c>
      <c r="E12" t="s">
        <v>211</v>
      </c>
      <c r="F12" t="s">
        <v>151</v>
      </c>
      <c r="G12" t="s">
        <v>90</v>
      </c>
    </row>
    <row r="13" spans="1:7" x14ac:dyDescent="0.2">
      <c r="A13" t="s">
        <v>71</v>
      </c>
      <c r="B13" t="s">
        <v>81</v>
      </c>
      <c r="C13" t="s">
        <v>176</v>
      </c>
      <c r="D13" t="s">
        <v>176</v>
      </c>
      <c r="E13" t="s">
        <v>211</v>
      </c>
      <c r="F13" t="s">
        <v>151</v>
      </c>
      <c r="G13" t="s">
        <v>90</v>
      </c>
    </row>
    <row r="14" spans="1:7" x14ac:dyDescent="0.2">
      <c r="A14" t="s">
        <v>13</v>
      </c>
      <c r="B14" t="s">
        <v>13</v>
      </c>
      <c r="C14" t="s">
        <v>176</v>
      </c>
      <c r="D14" t="s">
        <v>176</v>
      </c>
      <c r="E14" t="s">
        <v>209</v>
      </c>
      <c r="F14" t="s">
        <v>123</v>
      </c>
    </row>
    <row r="15" spans="1:7" x14ac:dyDescent="0.2">
      <c r="A15" t="s">
        <v>4</v>
      </c>
      <c r="B15" t="s">
        <v>4</v>
      </c>
      <c r="C15" t="s">
        <v>176</v>
      </c>
      <c r="D15" t="s">
        <v>176</v>
      </c>
      <c r="E15" t="s">
        <v>208</v>
      </c>
      <c r="F15" t="s">
        <v>124</v>
      </c>
    </row>
    <row r="16" spans="1:7" x14ac:dyDescent="0.2">
      <c r="A16" t="s">
        <v>1</v>
      </c>
      <c r="B16" t="s">
        <v>1</v>
      </c>
      <c r="C16" t="s">
        <v>176</v>
      </c>
      <c r="D16" t="s">
        <v>176</v>
      </c>
      <c r="E16" t="s">
        <v>208</v>
      </c>
      <c r="F16" t="s">
        <v>125</v>
      </c>
    </row>
    <row r="17" spans="1:6" x14ac:dyDescent="0.2">
      <c r="A17" t="s">
        <v>9</v>
      </c>
      <c r="B17" t="s">
        <v>9</v>
      </c>
      <c r="C17" t="s">
        <v>176</v>
      </c>
      <c r="D17" t="s">
        <v>176</v>
      </c>
      <c r="E17" t="s">
        <v>208</v>
      </c>
      <c r="F17" t="s">
        <v>124</v>
      </c>
    </row>
    <row r="18" spans="1:6" x14ac:dyDescent="0.2">
      <c r="A18" t="s">
        <v>2</v>
      </c>
      <c r="B18" t="s">
        <v>2</v>
      </c>
      <c r="C18" t="s">
        <v>176</v>
      </c>
      <c r="D18" t="s">
        <v>176</v>
      </c>
      <c r="E18" t="s">
        <v>208</v>
      </c>
      <c r="F18" t="s">
        <v>126</v>
      </c>
    </row>
    <row r="19" spans="1:6" x14ac:dyDescent="0.2">
      <c r="A19" t="s">
        <v>20</v>
      </c>
      <c r="B19" t="s">
        <v>20</v>
      </c>
      <c r="C19" t="s">
        <v>176</v>
      </c>
      <c r="D19" t="s">
        <v>176</v>
      </c>
      <c r="E19" t="s">
        <v>208</v>
      </c>
      <c r="F19" t="s">
        <v>127</v>
      </c>
    </row>
    <row r="20" spans="1:6" x14ac:dyDescent="0.2">
      <c r="A20" t="s">
        <v>0</v>
      </c>
      <c r="B20" t="s">
        <v>0</v>
      </c>
      <c r="C20" t="s">
        <v>176</v>
      </c>
      <c r="D20" t="s">
        <v>176</v>
      </c>
      <c r="E20" t="s">
        <v>208</v>
      </c>
      <c r="F20" t="s">
        <v>128</v>
      </c>
    </row>
    <row r="21" spans="1:6" x14ac:dyDescent="0.2">
      <c r="A21" t="s">
        <v>10</v>
      </c>
      <c r="B21" t="s">
        <v>10</v>
      </c>
      <c r="C21" t="s">
        <v>176</v>
      </c>
      <c r="D21" t="s">
        <v>176</v>
      </c>
      <c r="E21" t="s">
        <v>208</v>
      </c>
      <c r="F21" t="s">
        <v>124</v>
      </c>
    </row>
    <row r="22" spans="1:6" x14ac:dyDescent="0.2">
      <c r="A22" t="s">
        <v>17</v>
      </c>
      <c r="B22" t="s">
        <v>74</v>
      </c>
      <c r="C22" t="s">
        <v>176</v>
      </c>
      <c r="D22" t="s">
        <v>176</v>
      </c>
      <c r="E22" t="s">
        <v>208</v>
      </c>
      <c r="F22" t="s">
        <v>129</v>
      </c>
    </row>
    <row r="23" spans="1:6" x14ac:dyDescent="0.2">
      <c r="A23" t="s">
        <v>7</v>
      </c>
      <c r="B23" t="s">
        <v>74</v>
      </c>
      <c r="C23" t="s">
        <v>176</v>
      </c>
      <c r="D23" t="s">
        <v>176</v>
      </c>
      <c r="E23" t="s">
        <v>208</v>
      </c>
      <c r="F23" t="s">
        <v>129</v>
      </c>
    </row>
    <row r="24" spans="1:6" x14ac:dyDescent="0.2">
      <c r="A24" t="s">
        <v>14</v>
      </c>
      <c r="B24" t="s">
        <v>14</v>
      </c>
      <c r="C24" t="s">
        <v>176</v>
      </c>
      <c r="D24" t="s">
        <v>176</v>
      </c>
      <c r="E24" t="s">
        <v>208</v>
      </c>
      <c r="F24" t="s">
        <v>130</v>
      </c>
    </row>
    <row r="25" spans="1:6" x14ac:dyDescent="0.2">
      <c r="A25" t="s">
        <v>15</v>
      </c>
      <c r="B25" t="s">
        <v>15</v>
      </c>
      <c r="C25" t="s">
        <v>176</v>
      </c>
      <c r="D25" t="s">
        <v>176</v>
      </c>
      <c r="E25" t="s">
        <v>208</v>
      </c>
      <c r="F25" t="s">
        <v>131</v>
      </c>
    </row>
    <row r="26" spans="1:6" x14ac:dyDescent="0.2">
      <c r="A26" t="s">
        <v>19</v>
      </c>
      <c r="B26" t="s">
        <v>163</v>
      </c>
      <c r="C26" t="s">
        <v>176</v>
      </c>
      <c r="D26" t="s">
        <v>176</v>
      </c>
      <c r="E26" t="s">
        <v>208</v>
      </c>
      <c r="F26" t="s">
        <v>132</v>
      </c>
    </row>
    <row r="27" spans="1:6" x14ac:dyDescent="0.2">
      <c r="A27" t="s">
        <v>5</v>
      </c>
      <c r="B27" t="s">
        <v>5</v>
      </c>
      <c r="C27" t="s">
        <v>176</v>
      </c>
      <c r="D27" t="s">
        <v>176</v>
      </c>
      <c r="E27" t="s">
        <v>208</v>
      </c>
      <c r="F27" t="s">
        <v>133</v>
      </c>
    </row>
    <row r="28" spans="1:6" x14ac:dyDescent="0.2">
      <c r="A28" t="s">
        <v>18</v>
      </c>
      <c r="B28" t="s">
        <v>76</v>
      </c>
      <c r="C28" t="s">
        <v>176</v>
      </c>
      <c r="D28" t="s">
        <v>176</v>
      </c>
      <c r="E28" t="s">
        <v>208</v>
      </c>
      <c r="F28" t="s">
        <v>134</v>
      </c>
    </row>
    <row r="29" spans="1:6" x14ac:dyDescent="0.2">
      <c r="A29" t="s">
        <v>6</v>
      </c>
      <c r="B29" t="s">
        <v>76</v>
      </c>
      <c r="C29" t="s">
        <v>176</v>
      </c>
      <c r="D29" t="s">
        <v>176</v>
      </c>
      <c r="E29" t="s">
        <v>208</v>
      </c>
      <c r="F29" t="s">
        <v>134</v>
      </c>
    </row>
    <row r="30" spans="1:6" x14ac:dyDescent="0.2">
      <c r="A30" t="s">
        <v>12</v>
      </c>
      <c r="B30" t="s">
        <v>73</v>
      </c>
      <c r="C30" t="s">
        <v>176</v>
      </c>
      <c r="D30" t="s">
        <v>176</v>
      </c>
      <c r="E30" t="s">
        <v>208</v>
      </c>
      <c r="F30" t="s">
        <v>136</v>
      </c>
    </row>
    <row r="31" spans="1:6" x14ac:dyDescent="0.2">
      <c r="A31" t="s">
        <v>8</v>
      </c>
      <c r="B31" t="s">
        <v>73</v>
      </c>
      <c r="C31" t="s">
        <v>176</v>
      </c>
      <c r="D31" t="s">
        <v>176</v>
      </c>
      <c r="E31" t="s">
        <v>208</v>
      </c>
      <c r="F31" t="s">
        <v>136</v>
      </c>
    </row>
    <row r="32" spans="1:6" x14ac:dyDescent="0.2">
      <c r="A32" t="s">
        <v>11</v>
      </c>
      <c r="B32" t="s">
        <v>73</v>
      </c>
      <c r="C32" t="s">
        <v>176</v>
      </c>
      <c r="D32" t="s">
        <v>176</v>
      </c>
      <c r="E32" t="s">
        <v>208</v>
      </c>
      <c r="F32" t="s">
        <v>135</v>
      </c>
    </row>
    <row r="33" spans="1:7" x14ac:dyDescent="0.2">
      <c r="A33" t="s">
        <v>16</v>
      </c>
      <c r="B33" t="s">
        <v>75</v>
      </c>
      <c r="C33" t="s">
        <v>176</v>
      </c>
      <c r="D33" t="s">
        <v>176</v>
      </c>
      <c r="E33" t="s">
        <v>208</v>
      </c>
      <c r="F33" t="s">
        <v>137</v>
      </c>
    </row>
    <row r="34" spans="1:7" x14ac:dyDescent="0.2">
      <c r="A34" t="s">
        <v>3</v>
      </c>
      <c r="B34" t="s">
        <v>75</v>
      </c>
      <c r="C34" t="s">
        <v>176</v>
      </c>
      <c r="D34" t="s">
        <v>176</v>
      </c>
      <c r="E34" t="s">
        <v>208</v>
      </c>
      <c r="F34" t="s">
        <v>137</v>
      </c>
    </row>
    <row r="35" spans="1:7" x14ac:dyDescent="0.2">
      <c r="A35" t="s">
        <v>24</v>
      </c>
      <c r="B35" t="s">
        <v>77</v>
      </c>
      <c r="C35" t="s">
        <v>176</v>
      </c>
      <c r="D35" t="s">
        <v>176</v>
      </c>
      <c r="E35" t="s">
        <v>205</v>
      </c>
      <c r="F35" t="s">
        <v>138</v>
      </c>
    </row>
    <row r="36" spans="1:7" x14ac:dyDescent="0.2">
      <c r="A36" t="s">
        <v>31</v>
      </c>
      <c r="B36" t="s">
        <v>77</v>
      </c>
      <c r="C36" t="s">
        <v>176</v>
      </c>
      <c r="D36" t="s">
        <v>176</v>
      </c>
      <c r="E36" t="s">
        <v>205</v>
      </c>
      <c r="F36" t="s">
        <v>138</v>
      </c>
    </row>
    <row r="37" spans="1:7" x14ac:dyDescent="0.2">
      <c r="A37" t="s">
        <v>25</v>
      </c>
      <c r="B37" t="s">
        <v>25</v>
      </c>
      <c r="C37" t="s">
        <v>176</v>
      </c>
      <c r="D37" t="s">
        <v>176</v>
      </c>
      <c r="E37" t="s">
        <v>205</v>
      </c>
      <c r="F37" t="s">
        <v>139</v>
      </c>
    </row>
    <row r="38" spans="1:7" x14ac:dyDescent="0.2">
      <c r="A38" t="s">
        <v>26</v>
      </c>
      <c r="B38" t="s">
        <v>26</v>
      </c>
      <c r="C38" t="s">
        <v>176</v>
      </c>
      <c r="D38" t="s">
        <v>176</v>
      </c>
      <c r="E38" t="s">
        <v>205</v>
      </c>
      <c r="F38" t="s">
        <v>140</v>
      </c>
    </row>
    <row r="39" spans="1:7" x14ac:dyDescent="0.2">
      <c r="A39" t="s">
        <v>22</v>
      </c>
      <c r="B39" t="s">
        <v>105</v>
      </c>
      <c r="C39" t="s">
        <v>176</v>
      </c>
      <c r="D39" t="s">
        <v>176</v>
      </c>
      <c r="E39" t="s">
        <v>205</v>
      </c>
      <c r="F39" t="s">
        <v>141</v>
      </c>
      <c r="G39" t="s">
        <v>90</v>
      </c>
    </row>
    <row r="40" spans="1:7" x14ac:dyDescent="0.2">
      <c r="A40" t="s">
        <v>21</v>
      </c>
      <c r="B40" t="s">
        <v>105</v>
      </c>
      <c r="C40" t="s">
        <v>176</v>
      </c>
      <c r="D40" t="s">
        <v>176</v>
      </c>
      <c r="E40" t="s">
        <v>205</v>
      </c>
      <c r="F40" t="s">
        <v>141</v>
      </c>
      <c r="G40" t="s">
        <v>90</v>
      </c>
    </row>
    <row r="41" spans="1:7" x14ac:dyDescent="0.2">
      <c r="A41" t="s">
        <v>46</v>
      </c>
      <c r="B41" t="s">
        <v>105</v>
      </c>
      <c r="C41" t="s">
        <v>176</v>
      </c>
      <c r="D41" t="s">
        <v>176</v>
      </c>
      <c r="E41" t="s">
        <v>205</v>
      </c>
      <c r="F41" t="s">
        <v>141</v>
      </c>
      <c r="G41" t="s">
        <v>90</v>
      </c>
    </row>
    <row r="42" spans="1:7" x14ac:dyDescent="0.2">
      <c r="A42" t="s">
        <v>103</v>
      </c>
      <c r="B42" t="s">
        <v>105</v>
      </c>
      <c r="C42" t="s">
        <v>176</v>
      </c>
      <c r="D42" t="s">
        <v>176</v>
      </c>
      <c r="E42" t="s">
        <v>205</v>
      </c>
      <c r="F42" t="s">
        <v>141</v>
      </c>
      <c r="G42" t="s">
        <v>90</v>
      </c>
    </row>
    <row r="43" spans="1:7" x14ac:dyDescent="0.2">
      <c r="A43" t="s">
        <v>104</v>
      </c>
      <c r="B43" t="s">
        <v>105</v>
      </c>
      <c r="C43" t="s">
        <v>176</v>
      </c>
      <c r="D43" t="s">
        <v>176</v>
      </c>
      <c r="E43" t="s">
        <v>205</v>
      </c>
      <c r="F43" t="s">
        <v>141</v>
      </c>
      <c r="G43" t="s">
        <v>90</v>
      </c>
    </row>
    <row r="44" spans="1:7" x14ac:dyDescent="0.2">
      <c r="A44" t="s">
        <v>29</v>
      </c>
      <c r="B44" t="s">
        <v>105</v>
      </c>
      <c r="C44" t="s">
        <v>176</v>
      </c>
      <c r="D44" t="s">
        <v>176</v>
      </c>
      <c r="E44" t="s">
        <v>205</v>
      </c>
      <c r="F44" t="s">
        <v>141</v>
      </c>
    </row>
    <row r="45" spans="1:7" x14ac:dyDescent="0.2">
      <c r="A45" t="s">
        <v>34</v>
      </c>
      <c r="B45" t="s">
        <v>34</v>
      </c>
      <c r="C45" t="s">
        <v>176</v>
      </c>
      <c r="D45" t="s">
        <v>176</v>
      </c>
      <c r="E45" t="s">
        <v>205</v>
      </c>
      <c r="F45" t="s">
        <v>142</v>
      </c>
    </row>
    <row r="46" spans="1:7" x14ac:dyDescent="0.2">
      <c r="A46" t="s">
        <v>27</v>
      </c>
      <c r="B46" t="s">
        <v>27</v>
      </c>
      <c r="C46" t="s">
        <v>176</v>
      </c>
      <c r="D46" t="s">
        <v>176</v>
      </c>
      <c r="E46" t="s">
        <v>205</v>
      </c>
      <c r="F46" t="s">
        <v>143</v>
      </c>
    </row>
    <row r="47" spans="1:7" x14ac:dyDescent="0.2">
      <c r="A47" t="s">
        <v>33</v>
      </c>
      <c r="B47" t="s">
        <v>33</v>
      </c>
      <c r="C47" t="s">
        <v>176</v>
      </c>
      <c r="D47" t="s">
        <v>176</v>
      </c>
      <c r="E47" t="s">
        <v>205</v>
      </c>
      <c r="F47" t="s">
        <v>143</v>
      </c>
    </row>
    <row r="48" spans="1:7" x14ac:dyDescent="0.2">
      <c r="A48" t="s">
        <v>35</v>
      </c>
      <c r="B48" t="s">
        <v>35</v>
      </c>
      <c r="C48" t="s">
        <v>176</v>
      </c>
      <c r="D48" t="s">
        <v>176</v>
      </c>
      <c r="E48" t="s">
        <v>205</v>
      </c>
      <c r="F48" t="s">
        <v>144</v>
      </c>
    </row>
    <row r="49" spans="1:6" x14ac:dyDescent="0.2">
      <c r="A49" t="s">
        <v>42</v>
      </c>
      <c r="B49" t="s">
        <v>78</v>
      </c>
      <c r="C49" t="s">
        <v>176</v>
      </c>
      <c r="D49" t="s">
        <v>176</v>
      </c>
      <c r="E49" t="s">
        <v>205</v>
      </c>
      <c r="F49" t="s">
        <v>146</v>
      </c>
    </row>
    <row r="50" spans="1:6" x14ac:dyDescent="0.2">
      <c r="A50" t="s">
        <v>23</v>
      </c>
      <c r="B50" t="s">
        <v>78</v>
      </c>
      <c r="C50" t="s">
        <v>176</v>
      </c>
      <c r="D50" t="s">
        <v>176</v>
      </c>
      <c r="E50" t="s">
        <v>205</v>
      </c>
      <c r="F50" t="s">
        <v>145</v>
      </c>
    </row>
    <row r="51" spans="1:6" x14ac:dyDescent="0.2">
      <c r="A51" t="s">
        <v>38</v>
      </c>
      <c r="B51" t="s">
        <v>80</v>
      </c>
      <c r="C51" t="s">
        <v>176</v>
      </c>
      <c r="D51" t="s">
        <v>176</v>
      </c>
      <c r="E51" t="s">
        <v>205</v>
      </c>
      <c r="F51" t="s">
        <v>150</v>
      </c>
    </row>
    <row r="52" spans="1:6" x14ac:dyDescent="0.2">
      <c r="A52" t="s">
        <v>37</v>
      </c>
      <c r="B52" t="s">
        <v>80</v>
      </c>
      <c r="C52" t="s">
        <v>176</v>
      </c>
      <c r="D52" t="s">
        <v>176</v>
      </c>
      <c r="E52" t="s">
        <v>205</v>
      </c>
      <c r="F52" t="s">
        <v>155</v>
      </c>
    </row>
    <row r="53" spans="1:6" x14ac:dyDescent="0.2">
      <c r="A53" t="s">
        <v>28</v>
      </c>
      <c r="B53" t="s">
        <v>80</v>
      </c>
      <c r="C53" t="s">
        <v>176</v>
      </c>
      <c r="D53" t="s">
        <v>176</v>
      </c>
      <c r="E53" t="s">
        <v>205</v>
      </c>
      <c r="F53" t="s">
        <v>147</v>
      </c>
    </row>
    <row r="54" spans="1:6" x14ac:dyDescent="0.2">
      <c r="A54" t="s">
        <v>44</v>
      </c>
      <c r="B54" t="s">
        <v>82</v>
      </c>
      <c r="C54" t="s">
        <v>176</v>
      </c>
      <c r="D54" t="s">
        <v>176</v>
      </c>
      <c r="E54" t="s">
        <v>205</v>
      </c>
      <c r="F54" t="s">
        <v>152</v>
      </c>
    </row>
    <row r="55" spans="1:6" x14ac:dyDescent="0.2">
      <c r="A55" t="s">
        <v>36</v>
      </c>
      <c r="B55" t="s">
        <v>82</v>
      </c>
      <c r="C55" t="s">
        <v>176</v>
      </c>
      <c r="D55" t="s">
        <v>176</v>
      </c>
      <c r="E55" t="s">
        <v>205</v>
      </c>
      <c r="F55" t="s">
        <v>148</v>
      </c>
    </row>
    <row r="56" spans="1:6" x14ac:dyDescent="0.2">
      <c r="A56" t="s">
        <v>30</v>
      </c>
      <c r="B56" t="s">
        <v>82</v>
      </c>
      <c r="C56" t="s">
        <v>176</v>
      </c>
      <c r="D56" t="s">
        <v>176</v>
      </c>
      <c r="E56" t="s">
        <v>205</v>
      </c>
      <c r="F56" t="s">
        <v>148</v>
      </c>
    </row>
    <row r="57" spans="1:6" x14ac:dyDescent="0.2">
      <c r="A57" t="s">
        <v>45</v>
      </c>
      <c r="B57" t="s">
        <v>45</v>
      </c>
      <c r="C57" t="s">
        <v>176</v>
      </c>
      <c r="D57" t="s">
        <v>176</v>
      </c>
      <c r="E57" t="s">
        <v>205</v>
      </c>
      <c r="F57" t="s">
        <v>156</v>
      </c>
    </row>
    <row r="58" spans="1:6" x14ac:dyDescent="0.2">
      <c r="A58" t="s">
        <v>32</v>
      </c>
      <c r="B58" t="s">
        <v>83</v>
      </c>
      <c r="C58" t="s">
        <v>176</v>
      </c>
      <c r="D58" t="s">
        <v>176</v>
      </c>
      <c r="E58" t="s">
        <v>205</v>
      </c>
      <c r="F58" t="s">
        <v>153</v>
      </c>
    </row>
    <row r="59" spans="1:6" x14ac:dyDescent="0.2">
      <c r="A59" t="s">
        <v>65</v>
      </c>
      <c r="B59" t="s">
        <v>65</v>
      </c>
      <c r="C59" t="s">
        <v>176</v>
      </c>
      <c r="D59" t="s">
        <v>176</v>
      </c>
      <c r="E59" t="s">
        <v>211</v>
      </c>
      <c r="F59" t="s">
        <v>157</v>
      </c>
    </row>
    <row r="60" spans="1:6" x14ac:dyDescent="0.2">
      <c r="A60" t="s">
        <v>66</v>
      </c>
      <c r="B60" t="s">
        <v>66</v>
      </c>
      <c r="C60" t="s">
        <v>176</v>
      </c>
      <c r="D60" t="s">
        <v>176</v>
      </c>
      <c r="E60" t="s">
        <v>211</v>
      </c>
      <c r="F60" t="s">
        <v>158</v>
      </c>
    </row>
    <row r="61" spans="1:6" x14ac:dyDescent="0.2">
      <c r="A61" t="s">
        <v>67</v>
      </c>
      <c r="B61" t="s">
        <v>86</v>
      </c>
      <c r="C61" t="s">
        <v>176</v>
      </c>
      <c r="D61" t="s">
        <v>176</v>
      </c>
      <c r="E61" t="s">
        <v>211</v>
      </c>
      <c r="F61" t="s">
        <v>159</v>
      </c>
    </row>
    <row r="62" spans="1:6" x14ac:dyDescent="0.2">
      <c r="A62" t="s">
        <v>39</v>
      </c>
      <c r="B62" t="s">
        <v>84</v>
      </c>
      <c r="C62" t="s">
        <v>176</v>
      </c>
      <c r="D62" t="s">
        <v>176</v>
      </c>
      <c r="E62" t="s">
        <v>211</v>
      </c>
      <c r="F62" t="s">
        <v>154</v>
      </c>
    </row>
    <row r="63" spans="1:6" x14ac:dyDescent="0.2">
      <c r="A63" t="s">
        <v>68</v>
      </c>
      <c r="B63" t="s">
        <v>68</v>
      </c>
      <c r="C63" t="s">
        <v>176</v>
      </c>
      <c r="D63" t="s">
        <v>176</v>
      </c>
      <c r="E63" t="s">
        <v>211</v>
      </c>
      <c r="F63" t="s">
        <v>154</v>
      </c>
    </row>
    <row r="64" spans="1:6" x14ac:dyDescent="0.2">
      <c r="A64" t="s">
        <v>69</v>
      </c>
      <c r="B64" t="s">
        <v>69</v>
      </c>
      <c r="C64" t="s">
        <v>176</v>
      </c>
      <c r="D64" t="s">
        <v>176</v>
      </c>
      <c r="E64" t="s">
        <v>211</v>
      </c>
      <c r="F64" t="s">
        <v>154</v>
      </c>
    </row>
    <row r="65" spans="1:10" x14ac:dyDescent="0.2">
      <c r="A65" t="s">
        <v>43</v>
      </c>
      <c r="B65" t="s">
        <v>79</v>
      </c>
      <c r="C65" t="s">
        <v>176</v>
      </c>
      <c r="D65" t="s">
        <v>176</v>
      </c>
      <c r="E65" t="s">
        <v>211</v>
      </c>
      <c r="F65" t="s">
        <v>149</v>
      </c>
    </row>
    <row r="66" spans="1:10" x14ac:dyDescent="0.2">
      <c r="A66" t="s">
        <v>41</v>
      </c>
      <c r="B66" t="s">
        <v>85</v>
      </c>
      <c r="C66" t="s">
        <v>176</v>
      </c>
      <c r="D66" t="s">
        <v>176</v>
      </c>
      <c r="E66" t="s">
        <v>211</v>
      </c>
      <c r="F66" t="s">
        <v>154</v>
      </c>
    </row>
    <row r="67" spans="1:10" x14ac:dyDescent="0.2">
      <c r="A67" t="s">
        <v>64</v>
      </c>
      <c r="B67" t="s">
        <v>177</v>
      </c>
      <c r="C67" t="s">
        <v>176</v>
      </c>
      <c r="D67" t="s">
        <v>176</v>
      </c>
      <c r="E67" t="s">
        <v>212</v>
      </c>
      <c r="F67" t="s">
        <v>178</v>
      </c>
    </row>
    <row r="68" spans="1:10" x14ac:dyDescent="0.2">
      <c r="A68" t="s">
        <v>62</v>
      </c>
      <c r="B68" t="s">
        <v>62</v>
      </c>
      <c r="C68" t="s">
        <v>176</v>
      </c>
      <c r="D68" t="s">
        <v>176</v>
      </c>
      <c r="E68" t="s">
        <v>209</v>
      </c>
      <c r="F68" t="s">
        <v>161</v>
      </c>
    </row>
    <row r="69" spans="1:10" x14ac:dyDescent="0.2">
      <c r="A69" t="s">
        <v>99</v>
      </c>
      <c r="B69" t="s">
        <v>99</v>
      </c>
      <c r="C69" t="s">
        <v>176</v>
      </c>
      <c r="D69" t="s">
        <v>88</v>
      </c>
      <c r="E69" t="s">
        <v>209</v>
      </c>
      <c r="F69" t="s">
        <v>165</v>
      </c>
    </row>
    <row r="70" spans="1:10" x14ac:dyDescent="0.2">
      <c r="A70" t="s">
        <v>100</v>
      </c>
      <c r="B70" t="s">
        <v>100</v>
      </c>
      <c r="C70" t="s">
        <v>176</v>
      </c>
      <c r="D70" t="s">
        <v>88</v>
      </c>
      <c r="E70" t="s">
        <v>209</v>
      </c>
      <c r="F70" t="s">
        <v>166</v>
      </c>
    </row>
    <row r="71" spans="1:10" x14ac:dyDescent="0.2">
      <c r="A71" t="s">
        <v>98</v>
      </c>
      <c r="B71" t="s">
        <v>98</v>
      </c>
      <c r="C71" t="s">
        <v>176</v>
      </c>
      <c r="D71" t="s">
        <v>88</v>
      </c>
      <c r="E71" t="s">
        <v>209</v>
      </c>
      <c r="F71" t="s">
        <v>164</v>
      </c>
      <c r="J71" t="s">
        <v>201</v>
      </c>
    </row>
    <row r="72" spans="1:10" x14ac:dyDescent="0.2">
      <c r="A72" s="2" t="s">
        <v>184</v>
      </c>
      <c r="B72" s="2" t="s">
        <v>184</v>
      </c>
      <c r="C72" t="s">
        <v>176</v>
      </c>
      <c r="D72" t="s">
        <v>88</v>
      </c>
      <c r="E72" t="s">
        <v>210</v>
      </c>
      <c r="F72" t="s">
        <v>188</v>
      </c>
    </row>
    <row r="73" spans="1:10" x14ac:dyDescent="0.2">
      <c r="A73" s="2" t="s">
        <v>185</v>
      </c>
      <c r="B73" s="2" t="s">
        <v>185</v>
      </c>
      <c r="C73" t="s">
        <v>176</v>
      </c>
      <c r="D73" t="s">
        <v>88</v>
      </c>
      <c r="E73" t="s">
        <v>210</v>
      </c>
      <c r="F73" t="s">
        <v>189</v>
      </c>
    </row>
    <row r="74" spans="1:10" x14ac:dyDescent="0.2">
      <c r="A74" s="2" t="s">
        <v>186</v>
      </c>
      <c r="B74" s="2" t="s">
        <v>186</v>
      </c>
      <c r="C74" t="s">
        <v>176</v>
      </c>
      <c r="D74" t="s">
        <v>88</v>
      </c>
      <c r="E74" t="s">
        <v>210</v>
      </c>
      <c r="F74" t="s">
        <v>190</v>
      </c>
    </row>
    <row r="75" spans="1:10" x14ac:dyDescent="0.2">
      <c r="A75" s="2" t="s">
        <v>187</v>
      </c>
      <c r="B75" s="2" t="s">
        <v>187</v>
      </c>
      <c r="C75" t="s">
        <v>176</v>
      </c>
      <c r="D75" t="s">
        <v>88</v>
      </c>
      <c r="E75" t="s">
        <v>210</v>
      </c>
      <c r="F75" t="s">
        <v>191</v>
      </c>
    </row>
    <row r="76" spans="1:10" x14ac:dyDescent="0.2">
      <c r="A76" t="s">
        <v>102</v>
      </c>
      <c r="B76" t="s">
        <v>102</v>
      </c>
      <c r="C76" t="s">
        <v>176</v>
      </c>
      <c r="D76" t="s">
        <v>88</v>
      </c>
      <c r="E76" t="s">
        <v>208</v>
      </c>
      <c r="F76" t="s">
        <v>167</v>
      </c>
    </row>
    <row r="77" spans="1:10" x14ac:dyDescent="0.2">
      <c r="A77" t="s">
        <v>101</v>
      </c>
      <c r="B77" t="s">
        <v>101</v>
      </c>
      <c r="C77" t="s">
        <v>176</v>
      </c>
      <c r="D77" t="s">
        <v>88</v>
      </c>
      <c r="E77" t="s">
        <v>208</v>
      </c>
      <c r="F77" t="s">
        <v>168</v>
      </c>
    </row>
    <row r="78" spans="1:10" x14ac:dyDescent="0.2">
      <c r="A78" t="s">
        <v>91</v>
      </c>
      <c r="B78" t="s">
        <v>91</v>
      </c>
      <c r="C78" t="s">
        <v>176</v>
      </c>
      <c r="D78" t="s">
        <v>88</v>
      </c>
      <c r="E78" t="s">
        <v>205</v>
      </c>
      <c r="F78" t="s">
        <v>169</v>
      </c>
    </row>
    <row r="79" spans="1:10" x14ac:dyDescent="0.2">
      <c r="A79" t="s">
        <v>92</v>
      </c>
      <c r="B79" t="s">
        <v>92</v>
      </c>
      <c r="C79" t="s">
        <v>176</v>
      </c>
      <c r="D79" t="s">
        <v>88</v>
      </c>
      <c r="E79" t="s">
        <v>205</v>
      </c>
      <c r="F79" t="s">
        <v>170</v>
      </c>
    </row>
    <row r="80" spans="1:10" x14ac:dyDescent="0.2">
      <c r="A80" t="s">
        <v>93</v>
      </c>
      <c r="B80" t="s">
        <v>93</v>
      </c>
      <c r="C80" t="s">
        <v>176</v>
      </c>
      <c r="D80" t="s">
        <v>88</v>
      </c>
      <c r="E80" t="s">
        <v>205</v>
      </c>
      <c r="F80" t="s">
        <v>171</v>
      </c>
    </row>
    <row r="81" spans="1:6" x14ac:dyDescent="0.2">
      <c r="A81" t="s">
        <v>94</v>
      </c>
      <c r="B81" t="s">
        <v>94</v>
      </c>
      <c r="C81" t="s">
        <v>176</v>
      </c>
      <c r="D81" t="s">
        <v>88</v>
      </c>
      <c r="E81" t="s">
        <v>205</v>
      </c>
      <c r="F81" t="s">
        <v>172</v>
      </c>
    </row>
    <row r="82" spans="1:6" x14ac:dyDescent="0.2">
      <c r="A82" t="s">
        <v>96</v>
      </c>
      <c r="B82" t="s">
        <v>96</v>
      </c>
      <c r="C82" t="s">
        <v>176</v>
      </c>
      <c r="D82" t="s">
        <v>88</v>
      </c>
      <c r="E82" t="s">
        <v>211</v>
      </c>
      <c r="F82" t="s">
        <v>173</v>
      </c>
    </row>
    <row r="83" spans="1:6" x14ac:dyDescent="0.2">
      <c r="A83" t="s">
        <v>97</v>
      </c>
      <c r="B83" t="s">
        <v>97</v>
      </c>
      <c r="C83" t="s">
        <v>176</v>
      </c>
      <c r="D83" t="s">
        <v>88</v>
      </c>
      <c r="E83" t="s">
        <v>211</v>
      </c>
      <c r="F83" t="s">
        <v>174</v>
      </c>
    </row>
    <row r="84" spans="1:6" x14ac:dyDescent="0.2">
      <c r="A84" t="s">
        <v>95</v>
      </c>
      <c r="B84" t="s">
        <v>95</v>
      </c>
      <c r="C84" t="s">
        <v>176</v>
      </c>
      <c r="D84" t="s">
        <v>88</v>
      </c>
      <c r="E84" t="s">
        <v>211</v>
      </c>
      <c r="F84" t="s">
        <v>175</v>
      </c>
    </row>
    <row r="85" spans="1:6" x14ac:dyDescent="0.2">
      <c r="A85" s="2" t="s">
        <v>182</v>
      </c>
      <c r="B85" s="2" t="s">
        <v>182</v>
      </c>
      <c r="C85" t="s">
        <v>176</v>
      </c>
      <c r="D85" t="s">
        <v>88</v>
      </c>
      <c r="E85" t="s">
        <v>212</v>
      </c>
      <c r="F85" t="s">
        <v>178</v>
      </c>
    </row>
    <row r="86" spans="1:6" x14ac:dyDescent="0.2">
      <c r="A86" s="2" t="s">
        <v>179</v>
      </c>
      <c r="B86" s="2" t="s">
        <v>179</v>
      </c>
      <c r="C86" t="s">
        <v>176</v>
      </c>
      <c r="D86" t="s">
        <v>88</v>
      </c>
      <c r="E86" t="s">
        <v>212</v>
      </c>
      <c r="F86" t="s">
        <v>192</v>
      </c>
    </row>
    <row r="87" spans="1:6" x14ac:dyDescent="0.2">
      <c r="A87" s="2" t="s">
        <v>180</v>
      </c>
      <c r="B87" s="2" t="s">
        <v>180</v>
      </c>
      <c r="C87" t="s">
        <v>176</v>
      </c>
      <c r="D87" t="s">
        <v>88</v>
      </c>
      <c r="E87" t="s">
        <v>212</v>
      </c>
      <c r="F87" t="s">
        <v>193</v>
      </c>
    </row>
    <row r="88" spans="1:6" x14ac:dyDescent="0.2">
      <c r="A88" s="2" t="s">
        <v>181</v>
      </c>
      <c r="B88" s="2" t="s">
        <v>181</v>
      </c>
      <c r="C88" t="s">
        <v>176</v>
      </c>
      <c r="D88" t="s">
        <v>88</v>
      </c>
      <c r="E88" t="s">
        <v>212</v>
      </c>
      <c r="F88" t="s">
        <v>194</v>
      </c>
    </row>
    <row r="89" spans="1:6" x14ac:dyDescent="0.2">
      <c r="A89" t="s">
        <v>195</v>
      </c>
      <c r="B89" t="s">
        <v>195</v>
      </c>
      <c r="C89" t="s">
        <v>176</v>
      </c>
      <c r="D89" t="s">
        <v>88</v>
      </c>
      <c r="E89" t="s">
        <v>212</v>
      </c>
      <c r="F89" t="s">
        <v>196</v>
      </c>
    </row>
    <row r="90" spans="1:6" x14ac:dyDescent="0.2">
      <c r="A90" t="s">
        <v>197</v>
      </c>
      <c r="B90" t="s">
        <v>197</v>
      </c>
      <c r="C90" t="s">
        <v>176</v>
      </c>
      <c r="D90" t="s">
        <v>88</v>
      </c>
      <c r="E90" t="s">
        <v>212</v>
      </c>
      <c r="F90" t="s">
        <v>198</v>
      </c>
    </row>
    <row r="91" spans="1:6" x14ac:dyDescent="0.2">
      <c r="A91" t="s">
        <v>199</v>
      </c>
      <c r="B91" t="s">
        <v>199</v>
      </c>
      <c r="C91" t="s">
        <v>176</v>
      </c>
      <c r="D91" t="s">
        <v>88</v>
      </c>
      <c r="E91" t="s">
        <v>212</v>
      </c>
      <c r="F91" t="s">
        <v>203</v>
      </c>
    </row>
    <row r="92" spans="1:6" x14ac:dyDescent="0.2">
      <c r="A92" t="s">
        <v>200</v>
      </c>
      <c r="B92" t="s">
        <v>200</v>
      </c>
      <c r="C92" t="s">
        <v>176</v>
      </c>
      <c r="D92" t="s">
        <v>88</v>
      </c>
      <c r="E92" t="s">
        <v>212</v>
      </c>
      <c r="F92" t="s">
        <v>203</v>
      </c>
    </row>
    <row r="93" spans="1:6" x14ac:dyDescent="0.2">
      <c r="A93" t="s">
        <v>202</v>
      </c>
      <c r="B93" t="s">
        <v>202</v>
      </c>
      <c r="C93" t="s">
        <v>176</v>
      </c>
      <c r="D93" t="s">
        <v>88</v>
      </c>
      <c r="E93" t="s">
        <v>212</v>
      </c>
      <c r="F93" t="s">
        <v>203</v>
      </c>
    </row>
    <row r="94" spans="1:6" s="3" customFormat="1" x14ac:dyDescent="0.2">
      <c r="A94" s="3" t="s">
        <v>55</v>
      </c>
      <c r="B94" s="3" t="s">
        <v>55</v>
      </c>
      <c r="C94" s="3" t="s">
        <v>88</v>
      </c>
      <c r="D94" s="3" t="s">
        <v>176</v>
      </c>
      <c r="E94" s="3" t="s">
        <v>213</v>
      </c>
      <c r="F94" s="3" t="s">
        <v>108</v>
      </c>
    </row>
    <row r="95" spans="1:6" s="3" customFormat="1" x14ac:dyDescent="0.2">
      <c r="A95" s="3" t="s">
        <v>57</v>
      </c>
      <c r="B95" s="3" t="s">
        <v>57</v>
      </c>
      <c r="C95" s="3" t="s">
        <v>88</v>
      </c>
      <c r="D95" s="3" t="s">
        <v>176</v>
      </c>
      <c r="E95" s="3" t="s">
        <v>213</v>
      </c>
      <c r="F95" s="3" t="s">
        <v>109</v>
      </c>
    </row>
    <row r="96" spans="1:6" s="3" customFormat="1" x14ac:dyDescent="0.2">
      <c r="A96" s="3" t="s">
        <v>58</v>
      </c>
      <c r="B96" s="3" t="s">
        <v>58</v>
      </c>
      <c r="C96" s="3" t="s">
        <v>88</v>
      </c>
      <c r="D96" s="3" t="s">
        <v>176</v>
      </c>
      <c r="E96" s="3" t="s">
        <v>213</v>
      </c>
      <c r="F96" s="3" t="s">
        <v>110</v>
      </c>
    </row>
    <row r="97" spans="1:6" s="3" customFormat="1" x14ac:dyDescent="0.2">
      <c r="A97" s="3" t="s">
        <v>59</v>
      </c>
      <c r="B97" s="3" t="s">
        <v>59</v>
      </c>
      <c r="C97" s="3" t="s">
        <v>88</v>
      </c>
      <c r="D97" s="3" t="s">
        <v>176</v>
      </c>
      <c r="E97" s="3" t="s">
        <v>213</v>
      </c>
      <c r="F97" s="3" t="s">
        <v>119</v>
      </c>
    </row>
    <row r="98" spans="1:6" s="3" customFormat="1" x14ac:dyDescent="0.2">
      <c r="A98" s="3" t="s">
        <v>60</v>
      </c>
      <c r="B98" s="3" t="s">
        <v>60</v>
      </c>
      <c r="C98" s="3" t="s">
        <v>88</v>
      </c>
      <c r="D98" s="3" t="s">
        <v>176</v>
      </c>
      <c r="E98" s="3" t="s">
        <v>213</v>
      </c>
      <c r="F98" s="3" t="s">
        <v>120</v>
      </c>
    </row>
    <row r="99" spans="1:6" s="3" customFormat="1" x14ac:dyDescent="0.2">
      <c r="A99" s="3" t="s">
        <v>63</v>
      </c>
      <c r="B99" s="3" t="s">
        <v>63</v>
      </c>
      <c r="C99" s="3" t="s">
        <v>88</v>
      </c>
      <c r="D99" s="3" t="s">
        <v>176</v>
      </c>
      <c r="E99" s="3" t="s">
        <v>213</v>
      </c>
      <c r="F99" s="3" t="s">
        <v>122</v>
      </c>
    </row>
    <row r="100" spans="1:6" s="3" customFormat="1" x14ac:dyDescent="0.2">
      <c r="A100" s="3" t="s">
        <v>54</v>
      </c>
      <c r="B100" s="3" t="s">
        <v>54</v>
      </c>
      <c r="C100" s="3" t="s">
        <v>88</v>
      </c>
      <c r="D100" s="3" t="s">
        <v>176</v>
      </c>
      <c r="E100" s="3" t="s">
        <v>213</v>
      </c>
      <c r="F100" s="3" t="s">
        <v>160</v>
      </c>
    </row>
    <row r="101" spans="1:6" s="3" customFormat="1" x14ac:dyDescent="0.2">
      <c r="A101" s="3" t="s">
        <v>56</v>
      </c>
      <c r="B101" s="3" t="s">
        <v>56</v>
      </c>
      <c r="C101" s="3" t="s">
        <v>88</v>
      </c>
      <c r="D101" s="3" t="s">
        <v>176</v>
      </c>
      <c r="E101" s="3" t="s">
        <v>213</v>
      </c>
      <c r="F101" s="3" t="s">
        <v>162</v>
      </c>
    </row>
    <row r="109" spans="1:6" x14ac:dyDescent="0.2">
      <c r="C109" s="2"/>
    </row>
    <row r="110" spans="1:6" x14ac:dyDescent="0.2">
      <c r="C110" s="2"/>
    </row>
    <row r="111" spans="1:6" x14ac:dyDescent="0.2">
      <c r="C111" s="2"/>
    </row>
    <row r="112" spans="1:6" x14ac:dyDescent="0.2">
      <c r="C112" s="2"/>
    </row>
    <row r="117" spans="3:3" x14ac:dyDescent="0.2">
      <c r="C117" s="1" t="s">
        <v>183</v>
      </c>
    </row>
  </sheetData>
  <sortState xmlns:xlrd2="http://schemas.microsoft.com/office/spreadsheetml/2017/richdata2" ref="A2:G101">
    <sortCondition descending="1" ref="C2:C101"/>
    <sortCondition descending="1" ref="D2:D101"/>
    <sortCondition ref="B2:B10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FCA3D-6381-3342-ADD6-D4427B78DFA4}">
  <dimension ref="A1:H74"/>
  <sheetViews>
    <sheetView tabSelected="1" workbookViewId="0">
      <selection activeCell="H3" sqref="H3"/>
    </sheetView>
  </sheetViews>
  <sheetFormatPr baseColWidth="10" defaultRowHeight="16" x14ac:dyDescent="0.2"/>
  <cols>
    <col min="1" max="1" width="39" customWidth="1"/>
  </cols>
  <sheetData>
    <row r="1" spans="1:8" x14ac:dyDescent="0.2">
      <c r="A1" t="s">
        <v>216</v>
      </c>
      <c r="B1">
        <f>COUNTA(_xlfn.UNIQUE(genes!B2:B93))</f>
        <v>73</v>
      </c>
      <c r="D1" t="s">
        <v>222</v>
      </c>
      <c r="E1">
        <f>COUNTA(_xlfn.ANCHORARRAY(D2))</f>
        <v>17</v>
      </c>
      <c r="F1" t="s">
        <v>223</v>
      </c>
      <c r="G1">
        <f>COUNTA(_xlfn.ANCHORARRAY(F2))</f>
        <v>18</v>
      </c>
      <c r="H1" t="s">
        <v>224</v>
      </c>
    </row>
    <row r="2" spans="1:8" x14ac:dyDescent="0.2">
      <c r="A2" t="s">
        <v>217</v>
      </c>
      <c r="B2" cm="1">
        <f t="array" ref="B2">COUNTA(_xlfn.UNIQUE(_xlfn._xlws.FILTER(genes!B2:B93, genes!E2:E93="central nitrogen fixation gene")))</f>
        <v>18</v>
      </c>
      <c r="D2" t="str" cm="1">
        <f t="array" ref="D2:D18">_xlfn.UNIQUE(_xlfn._xlws.FILTER(genes!B2:B93, ISNUMBER(SEARCH("nod", genes!B2:B93))))</f>
        <v>nodA</v>
      </c>
      <c r="F2" t="str" cm="1">
        <f t="array" ref="F2:F19">_xlfn.UNIQUE(_xlfn._xlws.FILTER(genes!B2:B93, ISNUMBER(SEARCH("nif", genes!B2:B93))))</f>
        <v xml:space="preserve">nifA  </v>
      </c>
      <c r="H2" t="str" cm="1">
        <f t="array" ref="H2:H74">_xlfn._xlws.SORT(_xlfn.UNIQUE(genes!B2:B93))</f>
        <v>fdxB</v>
      </c>
    </row>
    <row r="3" spans="1:8" x14ac:dyDescent="0.2">
      <c r="A3" t="s">
        <v>218</v>
      </c>
      <c r="B3" cm="1">
        <f t="array" ref="B3">COUNTA(_xlfn.UNIQUE(_xlfn._xlws.FILTER(genes!B2:B93, genes!E2:E93="central nodulation gene")))</f>
        <v>17</v>
      </c>
      <c r="D3" t="str">
        <v xml:space="preserve">nodB  </v>
      </c>
      <c r="F3" t="str">
        <v xml:space="preserve">nifB  </v>
      </c>
      <c r="H3" t="str">
        <v>fdxN</v>
      </c>
    </row>
    <row r="4" spans="1:8" x14ac:dyDescent="0.2">
      <c r="A4" t="s">
        <v>219</v>
      </c>
      <c r="B4">
        <f>B1-B2-B3</f>
        <v>38</v>
      </c>
      <c r="D4" t="str">
        <v xml:space="preserve">nodC  </v>
      </c>
      <c r="F4" t="str">
        <v xml:space="preserve">nifD  </v>
      </c>
      <c r="H4" t="str">
        <v xml:space="preserve">fixA  </v>
      </c>
    </row>
    <row r="5" spans="1:8" x14ac:dyDescent="0.2">
      <c r="A5" t="s">
        <v>220</v>
      </c>
      <c r="B5" cm="1">
        <f t="array" ref="B5">COUNTA(_xlfn.UNIQUE(_xlfn._xlws.FILTER(genes!B2:B93, ISNUMBER(SEARCH("nif", genes!B2:B93)))))</f>
        <v>18</v>
      </c>
      <c r="D5" t="str">
        <v>nodD</v>
      </c>
      <c r="F5" t="str">
        <v xml:space="preserve">nifE  </v>
      </c>
      <c r="H5" t="str">
        <v xml:space="preserve">fixB  </v>
      </c>
    </row>
    <row r="6" spans="1:8" x14ac:dyDescent="0.2">
      <c r="A6" t="s">
        <v>221</v>
      </c>
      <c r="B6" cm="1">
        <f t="array" ref="B6">COUNTA(_xlfn.UNIQUE(_xlfn._xlws.FILTER(genes!B2:B93, ISNUMBER(SEARCH("nod", genes!B2:B93)))))</f>
        <v>17</v>
      </c>
      <c r="D6" t="str">
        <v xml:space="preserve">nodH  </v>
      </c>
      <c r="F6" t="str">
        <v xml:space="preserve">nifH  </v>
      </c>
      <c r="H6" t="str">
        <v xml:space="preserve">fixC  </v>
      </c>
    </row>
    <row r="7" spans="1:8" x14ac:dyDescent="0.2">
      <c r="D7" t="str">
        <v xml:space="preserve">nodI  </v>
      </c>
      <c r="F7" t="str">
        <v xml:space="preserve">nifJ  </v>
      </c>
      <c r="H7" t="str">
        <v>fixJ</v>
      </c>
    </row>
    <row r="8" spans="1:8" x14ac:dyDescent="0.2">
      <c r="D8" t="str">
        <v xml:space="preserve">nodJ  </v>
      </c>
      <c r="F8" t="str">
        <v xml:space="preserve">nifK  </v>
      </c>
      <c r="H8" t="str">
        <v>fixK</v>
      </c>
    </row>
    <row r="9" spans="1:8" x14ac:dyDescent="0.2">
      <c r="D9" t="str">
        <v xml:space="preserve">nodL  </v>
      </c>
      <c r="F9" t="str">
        <v xml:space="preserve">nifN  </v>
      </c>
      <c r="H9" t="str">
        <v>fixL</v>
      </c>
    </row>
    <row r="10" spans="1:8" x14ac:dyDescent="0.2">
      <c r="D10" t="str">
        <v>nodQ</v>
      </c>
      <c r="F10" t="str">
        <v>nifQ</v>
      </c>
      <c r="H10" t="str">
        <v>fixN</v>
      </c>
    </row>
    <row r="11" spans="1:8" x14ac:dyDescent="0.2">
      <c r="D11" t="str">
        <v>nodS</v>
      </c>
      <c r="F11" t="str">
        <v xml:space="preserve">nifS  </v>
      </c>
      <c r="H11" t="str">
        <v>fixO</v>
      </c>
    </row>
    <row r="12" spans="1:8" x14ac:dyDescent="0.2">
      <c r="D12" t="str">
        <v>nodU</v>
      </c>
      <c r="F12" t="str">
        <v xml:space="preserve">nifT  </v>
      </c>
      <c r="H12" t="str">
        <v>fixP</v>
      </c>
    </row>
    <row r="13" spans="1:8" x14ac:dyDescent="0.2">
      <c r="D13" t="str">
        <v xml:space="preserve">nodX  </v>
      </c>
      <c r="F13" t="str">
        <v>nifU</v>
      </c>
      <c r="H13" t="str">
        <v>fixQ</v>
      </c>
    </row>
    <row r="14" spans="1:8" x14ac:dyDescent="0.2">
      <c r="D14" t="str">
        <v>nodZ</v>
      </c>
      <c r="F14" t="str">
        <v xml:space="preserve">nifV  </v>
      </c>
      <c r="H14" t="str">
        <v xml:space="preserve">fixU  </v>
      </c>
    </row>
    <row r="15" spans="1:8" x14ac:dyDescent="0.2">
      <c r="D15" t="str">
        <v>nodE</v>
      </c>
      <c r="F15" t="str">
        <v>nifW</v>
      </c>
      <c r="H15" t="str">
        <v xml:space="preserve">fixX  </v>
      </c>
    </row>
    <row r="16" spans="1:8" x14ac:dyDescent="0.2">
      <c r="D16" t="str">
        <v>nodF</v>
      </c>
      <c r="F16" t="str">
        <v>nifX</v>
      </c>
      <c r="H16" t="str">
        <v>Irr</v>
      </c>
    </row>
    <row r="17" spans="4:8" x14ac:dyDescent="0.2">
      <c r="D17" t="str">
        <v>nodP</v>
      </c>
      <c r="F17" t="str">
        <v>nifZ</v>
      </c>
      <c r="H17" t="str">
        <v>nfeD</v>
      </c>
    </row>
    <row r="18" spans="4:8" x14ac:dyDescent="0.2">
      <c r="D18" t="str">
        <v>nodT</v>
      </c>
      <c r="F18" t="str">
        <v>nifM</v>
      </c>
      <c r="H18" t="str">
        <v xml:space="preserve">nifA  </v>
      </c>
    </row>
    <row r="19" spans="4:8" x14ac:dyDescent="0.2">
      <c r="F19" t="str">
        <v>nifY</v>
      </c>
      <c r="H19" t="str">
        <v xml:space="preserve">nifB  </v>
      </c>
    </row>
    <row r="20" spans="4:8" x14ac:dyDescent="0.2">
      <c r="H20" t="str">
        <v xml:space="preserve">nifD  </v>
      </c>
    </row>
    <row r="21" spans="4:8" x14ac:dyDescent="0.2">
      <c r="H21" t="str">
        <v xml:space="preserve">nifE  </v>
      </c>
    </row>
    <row r="22" spans="4:8" x14ac:dyDescent="0.2">
      <c r="H22" t="str">
        <v xml:space="preserve">nifH  </v>
      </c>
    </row>
    <row r="23" spans="4:8" x14ac:dyDescent="0.2">
      <c r="H23" t="str">
        <v xml:space="preserve">nifJ  </v>
      </c>
    </row>
    <row r="24" spans="4:8" x14ac:dyDescent="0.2">
      <c r="H24" t="str">
        <v xml:space="preserve">nifK  </v>
      </c>
    </row>
    <row r="25" spans="4:8" x14ac:dyDescent="0.2">
      <c r="H25" t="str">
        <v>nifM</v>
      </c>
    </row>
    <row r="26" spans="4:8" x14ac:dyDescent="0.2">
      <c r="H26" t="str">
        <v xml:space="preserve">nifN  </v>
      </c>
    </row>
    <row r="27" spans="4:8" x14ac:dyDescent="0.2">
      <c r="H27" t="str">
        <v>nifQ</v>
      </c>
    </row>
    <row r="28" spans="4:8" x14ac:dyDescent="0.2">
      <c r="H28" t="str">
        <v xml:space="preserve">nifS  </v>
      </c>
    </row>
    <row r="29" spans="4:8" x14ac:dyDescent="0.2">
      <c r="H29" t="str">
        <v xml:space="preserve">nifT  </v>
      </c>
    </row>
    <row r="30" spans="4:8" x14ac:dyDescent="0.2">
      <c r="H30" t="str">
        <v>nifU</v>
      </c>
    </row>
    <row r="31" spans="4:8" x14ac:dyDescent="0.2">
      <c r="H31" t="str">
        <v xml:space="preserve">nifV  </v>
      </c>
    </row>
    <row r="32" spans="4:8" x14ac:dyDescent="0.2">
      <c r="H32" t="str">
        <v>nifW</v>
      </c>
    </row>
    <row r="33" spans="8:8" x14ac:dyDescent="0.2">
      <c r="H33" t="str">
        <v>nifX</v>
      </c>
    </row>
    <row r="34" spans="8:8" x14ac:dyDescent="0.2">
      <c r="H34" t="str">
        <v>nifY</v>
      </c>
    </row>
    <row r="35" spans="8:8" x14ac:dyDescent="0.2">
      <c r="H35" t="str">
        <v>nifZ</v>
      </c>
    </row>
    <row r="36" spans="8:8" x14ac:dyDescent="0.2">
      <c r="H36" t="str">
        <v>nodA</v>
      </c>
    </row>
    <row r="37" spans="8:8" x14ac:dyDescent="0.2">
      <c r="H37" t="str">
        <v xml:space="preserve">nodB  </v>
      </c>
    </row>
    <row r="38" spans="8:8" x14ac:dyDescent="0.2">
      <c r="H38" t="str">
        <v xml:space="preserve">nodC  </v>
      </c>
    </row>
    <row r="39" spans="8:8" x14ac:dyDescent="0.2">
      <c r="H39" t="str">
        <v>nodD</v>
      </c>
    </row>
    <row r="40" spans="8:8" x14ac:dyDescent="0.2">
      <c r="H40" t="str">
        <v>nodE</v>
      </c>
    </row>
    <row r="41" spans="8:8" x14ac:dyDescent="0.2">
      <c r="H41" t="str">
        <v>nodF</v>
      </c>
    </row>
    <row r="42" spans="8:8" x14ac:dyDescent="0.2">
      <c r="H42" t="str">
        <v xml:space="preserve">nodH  </v>
      </c>
    </row>
    <row r="43" spans="8:8" x14ac:dyDescent="0.2">
      <c r="H43" t="str">
        <v xml:space="preserve">nodI  </v>
      </c>
    </row>
    <row r="44" spans="8:8" x14ac:dyDescent="0.2">
      <c r="H44" t="str">
        <v xml:space="preserve">nodJ  </v>
      </c>
    </row>
    <row r="45" spans="8:8" x14ac:dyDescent="0.2">
      <c r="H45" t="str">
        <v xml:space="preserve">nodL  </v>
      </c>
    </row>
    <row r="46" spans="8:8" x14ac:dyDescent="0.2">
      <c r="H46" t="str">
        <v>nodP</v>
      </c>
    </row>
    <row r="47" spans="8:8" x14ac:dyDescent="0.2">
      <c r="H47" t="str">
        <v>nodQ</v>
      </c>
    </row>
    <row r="48" spans="8:8" x14ac:dyDescent="0.2">
      <c r="H48" t="str">
        <v>nodS</v>
      </c>
    </row>
    <row r="49" spans="8:8" x14ac:dyDescent="0.2">
      <c r="H49" t="str">
        <v>nodT</v>
      </c>
    </row>
    <row r="50" spans="8:8" x14ac:dyDescent="0.2">
      <c r="H50" t="str">
        <v>nodU</v>
      </c>
    </row>
    <row r="51" spans="8:8" x14ac:dyDescent="0.2">
      <c r="H51" t="str">
        <v xml:space="preserve">nodX  </v>
      </c>
    </row>
    <row r="52" spans="8:8" x14ac:dyDescent="0.2">
      <c r="H52" t="str">
        <v>nodZ</v>
      </c>
    </row>
    <row r="53" spans="8:8" x14ac:dyDescent="0.2">
      <c r="H53" t="str">
        <v>noeA</v>
      </c>
    </row>
    <row r="54" spans="8:8" x14ac:dyDescent="0.2">
      <c r="H54" t="str">
        <v>noeB</v>
      </c>
    </row>
    <row r="55" spans="8:8" x14ac:dyDescent="0.2">
      <c r="H55" t="str">
        <v>noeE</v>
      </c>
    </row>
    <row r="56" spans="8:8" x14ac:dyDescent="0.2">
      <c r="H56" t="str">
        <v>noeI</v>
      </c>
    </row>
    <row r="57" spans="8:8" x14ac:dyDescent="0.2">
      <c r="H57" t="str">
        <v>noeJ</v>
      </c>
    </row>
    <row r="58" spans="8:8" x14ac:dyDescent="0.2">
      <c r="H58" t="str">
        <v>nolB</v>
      </c>
    </row>
    <row r="59" spans="8:8" x14ac:dyDescent="0.2">
      <c r="H59" t="str">
        <v>nolF</v>
      </c>
    </row>
    <row r="60" spans="8:8" x14ac:dyDescent="0.2">
      <c r="H60" t="str">
        <v>nolG</v>
      </c>
    </row>
    <row r="61" spans="8:8" x14ac:dyDescent="0.2">
      <c r="H61" t="str">
        <v>nolL</v>
      </c>
    </row>
    <row r="62" spans="8:8" x14ac:dyDescent="0.2">
      <c r="H62" t="str">
        <v>nolU</v>
      </c>
    </row>
    <row r="63" spans="8:8" x14ac:dyDescent="0.2">
      <c r="H63" t="str">
        <v>nolX</v>
      </c>
    </row>
    <row r="64" spans="8:8" x14ac:dyDescent="0.2">
      <c r="H64" t="str">
        <v>nopE</v>
      </c>
    </row>
    <row r="65" spans="8:8" x14ac:dyDescent="0.2">
      <c r="H65" t="str">
        <v>nopL</v>
      </c>
    </row>
    <row r="66" spans="8:8" x14ac:dyDescent="0.2">
      <c r="H66" t="str">
        <v>nopM</v>
      </c>
    </row>
    <row r="67" spans="8:8" x14ac:dyDescent="0.2">
      <c r="H67" t="str">
        <v>nopP</v>
      </c>
    </row>
    <row r="68" spans="8:8" x14ac:dyDescent="0.2">
      <c r="H68" t="str">
        <v>nopT</v>
      </c>
    </row>
    <row r="69" spans="8:8" x14ac:dyDescent="0.2">
      <c r="H69" t="str">
        <v>rhcN</v>
      </c>
    </row>
    <row r="70" spans="8:8" x14ac:dyDescent="0.2">
      <c r="H70" t="str">
        <v>rhcQ</v>
      </c>
    </row>
    <row r="71" spans="8:8" x14ac:dyDescent="0.2">
      <c r="H71" t="str">
        <v>rhcR</v>
      </c>
    </row>
    <row r="72" spans="8:8" x14ac:dyDescent="0.2">
      <c r="H72" t="str">
        <v>rhcS</v>
      </c>
    </row>
    <row r="73" spans="8:8" x14ac:dyDescent="0.2">
      <c r="H73" t="str">
        <v>rhcT</v>
      </c>
    </row>
    <row r="74" spans="8:8" x14ac:dyDescent="0.2">
      <c r="H74" t="str">
        <v>rpoN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Folk</dc:creator>
  <cp:lastModifiedBy>Ryan Folk</cp:lastModifiedBy>
  <dcterms:created xsi:type="dcterms:W3CDTF">2026-01-18T21:16:32Z</dcterms:created>
  <dcterms:modified xsi:type="dcterms:W3CDTF">2026-01-20T20:24:36Z</dcterms:modified>
</cp:coreProperties>
</file>